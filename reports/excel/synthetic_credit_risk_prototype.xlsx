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redit-risk-decision-system\reports\excel\"/>
    </mc:Choice>
  </mc:AlternateContent>
  <xr:revisionPtr revIDLastSave="0" documentId="13_ncr:1_{5476D19E-1DB8-455B-A682-66E633D40C3A}" xr6:coauthVersionLast="47" xr6:coauthVersionMax="47" xr10:uidLastSave="{00000000-0000-0000-0000-000000000000}"/>
  <bookViews>
    <workbookView xWindow="12710" yWindow="0" windowWidth="12980" windowHeight="15370" xr2:uid="{BBB7CC6D-377D-4AE4-9941-B0252BEF4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H2" i="1"/>
  <c r="H3" i="1"/>
  <c r="H4" i="1"/>
  <c r="H5" i="1"/>
  <c r="H6" i="1"/>
  <c r="H7" i="1"/>
  <c r="J10" i="1"/>
  <c r="G2" i="1"/>
  <c r="G3" i="1"/>
  <c r="G4" i="1"/>
  <c r="G5" i="1"/>
  <c r="G6" i="1"/>
  <c r="G7" i="1"/>
  <c r="J7" i="1"/>
  <c r="J4" i="1"/>
  <c r="J3" i="1"/>
  <c r="J2" i="1"/>
  <c r="F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<sst xmlns="http://schemas.openxmlformats.org/spreadsheetml/2006/main" count="29" uniqueCount="29">
  <si>
    <t>Applicant_ID</t>
  </si>
  <si>
    <t>Income</t>
  </si>
  <si>
    <t>Debt</t>
  </si>
  <si>
    <t>Credit_Score</t>
  </si>
  <si>
    <t>Defaulted</t>
  </si>
  <si>
    <t>A001</t>
  </si>
  <si>
    <t>A002</t>
  </si>
  <si>
    <t>A003</t>
  </si>
  <si>
    <t>A004</t>
  </si>
  <si>
    <t>A005</t>
  </si>
  <si>
    <t>A006</t>
  </si>
  <si>
    <t>Debt_to_Income</t>
    <phoneticPr fontId="1" type="noConversion"/>
  </si>
  <si>
    <t>Risk_Flag</t>
    <phoneticPr fontId="1" type="noConversion"/>
  </si>
  <si>
    <t>Metric</t>
    <phoneticPr fontId="1" type="noConversion"/>
  </si>
  <si>
    <t>Average Income</t>
    <phoneticPr fontId="1" type="noConversion"/>
  </si>
  <si>
    <t>Default Rate</t>
    <phoneticPr fontId="1" type="noConversion"/>
  </si>
  <si>
    <t>High Risk Count</t>
    <phoneticPr fontId="1" type="noConversion"/>
  </si>
  <si>
    <t>Value</t>
    <phoneticPr fontId="1" type="noConversion"/>
  </si>
  <si>
    <t>A006</t>
    <phoneticPr fontId="1" type="noConversion"/>
  </si>
  <si>
    <t>Credit Score</t>
    <phoneticPr fontId="1" type="noConversion"/>
  </si>
  <si>
    <t>Risk Threshold</t>
    <phoneticPr fontId="1" type="noConversion"/>
  </si>
  <si>
    <t>High-Risk Defaults</t>
    <phoneticPr fontId="1" type="noConversion"/>
  </si>
  <si>
    <t>Applicant Lookup</t>
    <phoneticPr fontId="1" type="noConversion"/>
  </si>
  <si>
    <t>Decision</t>
    <phoneticPr fontId="1" type="noConversion"/>
  </si>
  <si>
    <t>Decline Score Threshold</t>
    <phoneticPr fontId="1" type="noConversion"/>
  </si>
  <si>
    <t>Review DTI Threshold</t>
    <phoneticPr fontId="1" type="noConversion"/>
  </si>
  <si>
    <t>Approve</t>
    <phoneticPr fontId="1" type="noConversion"/>
  </si>
  <si>
    <t>Review</t>
    <phoneticPr fontId="1" type="noConversion"/>
  </si>
  <si>
    <t>Decline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</si>
</sst>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$-1009]#,##0_);[Red]\([$$-1009]#,##0\)"/>
    <numFmt numFmtId="177" formatCode="0.0%"/>
    <numFmt numFmtId="178" formatCode="_-[$$-1009]* #,##0.00_-;\-[$$-1009]* #,##0.00_-;_-[$$-1009]* &quot;-&quot;??_-;_-@_-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77" formatCode="0.0%"/>
    </dxf>
    <dxf>
      <numFmt numFmtId="176" formatCode="[$$-1009]#,##0_);[Red]\([$$-1009]#,##0\)"/>
    </dxf>
    <dxf>
      <numFmt numFmtId="176" formatCode="[$$-1009]#,##0_);[Red]\([$$-1009]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Debt_to_Income by Applicant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Debt_to_Income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A003</c:v>
                </c:pt>
                <c:pt idx="1">
                  <c:v>A005</c:v>
                </c:pt>
                <c:pt idx="2">
                  <c:v>A001</c:v>
                </c:pt>
                <c:pt idx="3">
                  <c:v>A006</c:v>
                </c:pt>
                <c:pt idx="4">
                  <c:v>A002</c:v>
                </c:pt>
                <c:pt idx="5">
                  <c:v>A004</c:v>
                </c:pt>
              </c:strCache>
            </c:strRef>
          </c:cat>
          <c:val>
            <c:numRef>
              <c:f>Sheet1!$F$2:$F$7</c:f>
              <c:numCache>
                <c:formatCode>0.0%</c:formatCode>
                <c:ptCount val="6"/>
                <c:pt idx="0">
                  <c:v>0.20833333333333334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0.5</c:v>
                </c:pt>
                <c:pt idx="4">
                  <c:v>0.51428571428571423</c:v>
                </c:pt>
                <c:pt idx="5">
                  <c:v>0.53658536585365857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7-4665-BA07-3735AEA218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6835167"/>
        <c:axId val="901971087"/>
      </c:barChart>
      <c:catAx>
        <c:axId val="120683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971087"/>
        <c:crosses val="autoZero"/>
        <c:auto val="1"/>
        <c:lblAlgn val="ctr"/>
        <c:lblOffset val="100"/>
        <c:noMultiLvlLbl val="0"/>
      </c:catAx>
      <c:valAx>
        <c:axId val="9019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683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Decision Distribution</a:t>
            </a:r>
            <a:endParaRPr lang="zh-CN" altLang="en-US"/>
          </a:p>
        </c:rich>
      </c:tx>
      <c:layout>
        <c:manualLayout>
          <c:xMode val="edge"/>
          <c:yMode val="edge"/>
          <c:x val="0.329159667541557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Sheet1!$I$15:$I$17</c:f>
              <c:strCache>
                <c:ptCount val="3"/>
                <c:pt idx="0">
                  <c:v>Approve</c:v>
                </c:pt>
                <c:pt idx="1">
                  <c:v>Review</c:v>
                </c:pt>
                <c:pt idx="2">
                  <c:v>Decline</c:v>
                </c:pt>
              </c:strCache>
            </c:strRef>
          </c:cat>
          <c:val>
            <c:numRef>
              <c:f>Sheet1!$J$15:$J$17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D-4FCB-90E5-5C05C2F24E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300640"/>
        <c:axId val="1337053232"/>
      </c:barChart>
      <c:catAx>
        <c:axId val="17993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053232"/>
        <c:crosses val="autoZero"/>
        <c:auto val="1"/>
        <c:lblAlgn val="ctr"/>
        <c:lblOffset val="100"/>
        <c:noMultiLvlLbl val="0"/>
      </c:catAx>
      <c:valAx>
        <c:axId val="13370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930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16</xdr:row>
      <xdr:rowOff>107950</xdr:rowOff>
    </xdr:from>
    <xdr:to>
      <xdr:col>5</xdr:col>
      <xdr:colOff>1263650</xdr:colOff>
      <xdr:row>32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2BEEB7C-F8A5-5393-49BE-A26A3424F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273050</xdr:colOff>
      <xdr:row>20</xdr:row>
      <xdr:rowOff>158750</xdr:rowOff>
    </xdr:from>
    <xdr:to>
      <xdr:col>11</xdr:col>
      <xdr:colOff>76200</xdr:colOff>
      <xdr:row>36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6D086E8-2EBC-7872-A330-C746F9527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C04F0-4382-4F7E-97C9-60F422A61D94}" name="表1" displayName="表1" ref="A1:H7" totalsRowShown="0">
  <autoFilter ref="A1:H7" xr:uid="{79CC04F0-4382-4F7E-97C9-60F422A61D94}"/>
  <sortState xmlns:xlrd2="http://schemas.microsoft.com/office/spreadsheetml/2017/richdata2" ref="A2:E7">
    <sortCondition descending="1" ref="D1:D7"/>
  </sortState>
  <tableColumns count="8">
    <tableColumn id="1" xr3:uid="{5DB3054D-B453-4F4B-ABDE-676A06796AF5}" name="Applicant_ID"/>
    <tableColumn id="2" xr3:uid="{C84C28F8-3796-47D7-9032-662F1557773A}" name="Income" dataDxfId="22"/>
    <tableColumn id="3" xr3:uid="{9BFBAFA3-DE7A-4B0C-957A-D916E0E54EEB}" name="Debt" dataDxfId="21"/>
    <tableColumn id="4" xr3:uid="{DC3D9AA5-71BF-43FA-9B0E-8A4F6512FB97}" name="Credit_Score"/>
    <tableColumn id="5" xr3:uid="{78414401-7D35-4508-9F47-09AEC9F83448}" name="Defaulted"/>
    <tableColumn id="6" xr3:uid="{6C483C90-A97B-4157-8B4B-2DED3C5C25D4}" name="Debt_to_Income" dataDxfId="20" dataCellStyle="百分比">
      <calculatedColumnFormula>表1[[#This Row],[Debt]]/表1[[#This Row],[Income]]</calculatedColumnFormula>
    </tableColumn>
    <tableColumn id="7" xr3:uid="{68BC03E3-32DD-4531-87E8-8A72C88C7D4F}" name="Risk_Flag" dataDxfId="19">
      <calculatedColumnFormula>IF(表1[[#This Row],[Credit_Score]]&lt; $J$9, "High", "Low")</calculatedColumnFormula>
    </tableColumn>
    <tableColumn id="8" xr3:uid="{3075087F-CBFA-4972-B1FA-427EEF5F89D6}" name="Decision" dataDxfId="18">
      <calculatedColumnFormula>IF(表1[[#This Row],[Credit_Score]]&lt;$J$12, "Decline", IF(表1[[#This Row],[Debt_to_Income]]&gt;=$J$13, "Review", "Approve"))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CBB2-C9DD-4A72-8874-F973E3C8B88B}">
  <dimension ref="A1:J17"/>
  <sheetViews>
    <sheetView tabSelected="1" topLeftCell="D1" workbookViewId="0">
      <selection activeCell="I17" sqref="I17"/>
    </sheetView>
  </sheetViews>
  <sheetFormatPr defaultRowHeight="14" x14ac:dyDescent="0.3"/>
  <cols>
    <col min="1" max="1" width="13.9140625" bestFit="1" customWidth="1"/>
    <col min="2" max="2" width="9.33203125" style="1" bestFit="1" customWidth="1"/>
    <col min="3" max="3" width="8.08203125" style="1" bestFit="1" customWidth="1"/>
    <col min="4" max="4" width="13.83203125" bestFit="1" customWidth="1"/>
    <col min="5" max="5" width="11.5" bestFit="1" customWidth="1"/>
    <col min="6" max="6" width="17" style="2" bestFit="1" customWidth="1"/>
    <col min="7" max="7" width="10.83203125" bestFit="1" customWidth="1"/>
    <col min="8" max="8" width="10.33203125" bestFit="1" customWidth="1"/>
    <col min="9" max="9" width="20.75" bestFit="1" customWidth="1"/>
    <col min="10" max="10" width="12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2" t="s">
        <v>11</v>
      </c>
      <c r="G1" t="s">
        <v>12</v>
      </c>
      <c r="H1" t="s">
        <v>23</v>
      </c>
      <c r="I1" t="s">
        <v>13</v>
      </c>
      <c r="J1" t="s">
        <v>17</v>
      </c>
    </row>
    <row r="2" spans="1:10" x14ac:dyDescent="0.3">
      <c r="A2" t="s">
        <v>7</v>
      </c>
      <c r="B2" s="1">
        <v>72000</v>
      </c>
      <c r="C2" s="1">
        <v>15000</v>
      </c>
      <c r="D2">
        <v>750</v>
      </c>
      <c r="E2">
        <v>0</v>
      </c>
      <c r="F2" s="2">
        <f>表1[[#This Row],[Debt]]/表1[[#This Row],[Income]]</f>
        <v>0.20833333333333334</v>
      </c>
      <c r="G2" t="str">
        <f>IF(表1[[#This Row],[Credit_Score]]&lt; $J$9, "High", "Low")</f>
        <v>Low</v>
      </c>
      <c r="H2" t="str">
        <f>IF(表1[[#This Row],[Credit_Score]]&lt;$J$12, "Decline", IF(表1[[#This Row],[Debt_to_Income]]&gt;=$J$13, "Review", "Approve"))</f>
        <v>Approve</v>
      </c>
      <c r="I2" t="s">
        <v>14</v>
      </c>
      <c r="J2" s="3">
        <f>AVERAGE(表1[Income])</f>
        <v>51333.333333333336</v>
      </c>
    </row>
    <row r="3" spans="1:10" x14ac:dyDescent="0.3">
      <c r="A3" t="s">
        <v>9</v>
      </c>
      <c r="B3" s="1">
        <v>60000</v>
      </c>
      <c r="C3" s="1">
        <v>10000</v>
      </c>
      <c r="D3">
        <v>710</v>
      </c>
      <c r="E3">
        <v>0</v>
      </c>
      <c r="F3" s="2">
        <f>表1[[#This Row],[Debt]]/表1[[#This Row],[Income]]</f>
        <v>0.16666666666666666</v>
      </c>
      <c r="G3" t="str">
        <f>IF(表1[[#This Row],[Credit_Score]]&lt; $J$9, "High", "Low")</f>
        <v>Low</v>
      </c>
      <c r="H3" t="str">
        <f>IF(表1[[#This Row],[Credit_Score]]&lt;$J$12, "Decline", IF(表1[[#This Row],[Debt_to_Income]]&gt;=$J$13, "Review", "Approve"))</f>
        <v>Approve</v>
      </c>
      <c r="I3" t="s">
        <v>15</v>
      </c>
      <c r="J3" s="2">
        <f>AVERAGE(表1[Defaulted])</f>
        <v>0.5</v>
      </c>
    </row>
    <row r="4" spans="1:10" x14ac:dyDescent="0.3">
      <c r="A4" t="s">
        <v>5</v>
      </c>
      <c r="B4" s="1">
        <v>48000</v>
      </c>
      <c r="C4" s="1">
        <v>12000</v>
      </c>
      <c r="D4">
        <v>690</v>
      </c>
      <c r="E4">
        <v>0</v>
      </c>
      <c r="F4" s="2">
        <f>表1[[#This Row],[Debt]]/表1[[#This Row],[Income]]</f>
        <v>0.25</v>
      </c>
      <c r="G4" t="str">
        <f>IF(表1[[#This Row],[Credit_Score]]&lt; $J$9, "High", "Low")</f>
        <v>Low</v>
      </c>
      <c r="H4" t="str">
        <f>IF(表1[[#This Row],[Credit_Score]]&lt;$J$12, "Decline", IF(表1[[#This Row],[Debt_to_Income]]&gt;=$J$13, "Review", "Approve"))</f>
        <v>Approve</v>
      </c>
      <c r="I4" t="s">
        <v>16</v>
      </c>
      <c r="J4">
        <f>COUNTIF(表1[Risk_Flag], "High")</f>
        <v>3</v>
      </c>
    </row>
    <row r="5" spans="1:10" x14ac:dyDescent="0.3">
      <c r="A5" t="s">
        <v>10</v>
      </c>
      <c r="B5" s="1">
        <v>52000</v>
      </c>
      <c r="C5" s="1">
        <v>26000</v>
      </c>
      <c r="D5">
        <v>640</v>
      </c>
      <c r="E5">
        <v>1</v>
      </c>
      <c r="F5" s="2">
        <f>表1[[#This Row],[Debt]]/表1[[#This Row],[Income]]</f>
        <v>0.5</v>
      </c>
      <c r="G5" t="str">
        <f>IF(表1[[#This Row],[Credit_Score]]&lt; $J$9, "High", "Low")</f>
        <v>High</v>
      </c>
      <c r="H5" t="str">
        <f>IF(表1[[#This Row],[Credit_Score]]&lt;$J$12, "Decline", IF(表1[[#This Row],[Debt_to_Income]]&gt;=$J$13, "Review", "Approve"))</f>
        <v>Review</v>
      </c>
    </row>
    <row r="6" spans="1:10" x14ac:dyDescent="0.3">
      <c r="A6" t="s">
        <v>6</v>
      </c>
      <c r="B6" s="1">
        <v>35000</v>
      </c>
      <c r="C6" s="1">
        <v>18000</v>
      </c>
      <c r="D6">
        <v>610</v>
      </c>
      <c r="E6">
        <v>1</v>
      </c>
      <c r="F6" s="2">
        <f>表1[[#This Row],[Debt]]/表1[[#This Row],[Income]]</f>
        <v>0.51428571428571423</v>
      </c>
      <c r="G6" t="str">
        <f>IF(表1[[#This Row],[Credit_Score]]&lt; $J$9, "High", "Low")</f>
        <v>High</v>
      </c>
      <c r="H6" t="str">
        <f>IF(表1[[#This Row],[Credit_Score]]&lt;$J$12, "Decline", IF(表1[[#This Row],[Debt_to_Income]]&gt;=$J$13, "Review", "Approve"))</f>
        <v>Review</v>
      </c>
      <c r="I6" t="s">
        <v>22</v>
      </c>
      <c r="J6" t="s">
        <v>18</v>
      </c>
    </row>
    <row r="7" spans="1:10" x14ac:dyDescent="0.3">
      <c r="A7" t="s">
        <v>8</v>
      </c>
      <c r="B7" s="1">
        <v>41000</v>
      </c>
      <c r="C7" s="1">
        <v>22000</v>
      </c>
      <c r="D7">
        <v>580</v>
      </c>
      <c r="E7">
        <v>1</v>
      </c>
      <c r="F7" s="2">
        <f>表1[[#This Row],[Debt]]/表1[[#This Row],[Income]]</f>
        <v>0.53658536585365857</v>
      </c>
      <c r="G7" t="str">
        <f>IF(表1[[#This Row],[Credit_Score]]&lt; $J$9, "High", "Low")</f>
        <v>High</v>
      </c>
      <c r="H7" t="str">
        <f>IF(表1[[#This Row],[Credit_Score]]&lt;$J$12, "Decline", IF(表1[[#This Row],[Debt_to_Income]]&gt;=$J$13, "Review", "Approve"))</f>
        <v>Decline</v>
      </c>
      <c r="I7" t="s">
        <v>19</v>
      </c>
      <c r="J7">
        <f>_xlfn.XLOOKUP(J6, 表1[Applicant_ID], 表1[Credit_Score], "Not Found")</f>
        <v>640</v>
      </c>
    </row>
    <row r="9" spans="1:10" x14ac:dyDescent="0.3">
      <c r="I9" t="s">
        <v>20</v>
      </c>
      <c r="J9">
        <v>650</v>
      </c>
    </row>
    <row r="10" spans="1:10" x14ac:dyDescent="0.3">
      <c r="I10" t="s">
        <v>21</v>
      </c>
      <c r="J10">
        <f>COUNTIFS(表1[Risk_Flag], "High", 表1[Defaulted], 1)</f>
        <v>3</v>
      </c>
    </row>
    <row r="12" spans="1:10" x14ac:dyDescent="0.3">
      <c r="I12" t="s">
        <v>24</v>
      </c>
      <c r="J12">
        <v>600</v>
      </c>
    </row>
    <row r="13" spans="1:10" x14ac:dyDescent="0.3">
      <c r="I13" t="s">
        <v>25</v>
      </c>
      <c r="J13" s="4">
        <v>0.5</v>
      </c>
    </row>
    <row r="15" spans="1:10" x14ac:dyDescent="0.3">
      <c r="I15" t="s">
        <v>26</v>
      </c>
      <c r="J15">
        <f>COUNTIF(表1[Decision], "Approve")</f>
        <v>3</v>
      </c>
    </row>
    <row r="16" spans="1:10" x14ac:dyDescent="0.3">
      <c r="I16" t="s">
        <v>27</v>
      </c>
      <c r="J16">
        <f>COUNTIF(表1[Decision],"Review")</f>
        <v>2</v>
      </c>
    </row>
    <row r="17" spans="9:10" x14ac:dyDescent="0.3">
      <c r="I17" t="s">
        <v>28</v>
      </c>
      <c r="J17">
        <f>COUNTIF(表1[Decision],"Decline")</f>
        <v>1</v>
      </c>
    </row>
  </sheetData>
  <phoneticPr fontId="1" type="noConversion"/>
  <conditionalFormatting sqref="G2:G7">
    <cfRule type="containsText" dxfId="10" priority="4" operator="containsText" text="Low">
      <formula>NOT(ISERROR(SEARCH("Low",G2)))</formula>
    </cfRule>
    <cfRule type="containsText" dxfId="9" priority="5" operator="containsText" text="High">
      <formula>NOT(ISERROR(SEARCH("High",G2)))</formula>
    </cfRule>
    <cfRule type="containsText" dxfId="8" priority="6" operator="containsText" text="High">
      <formula>NOT(ISERROR(SEARCH("High",G2)))</formula>
    </cfRule>
  </conditionalFormatting>
  <conditionalFormatting sqref="H2:H7">
    <cfRule type="containsText" dxfId="0" priority="3" operator="containsText" text="Approve">
      <formula>NOT(ISERROR(SEARCH("Approve",H2)))</formula>
    </cfRule>
    <cfRule type="containsText" dxfId="1" priority="2" operator="containsText" text="Review">
      <formula>NOT(ISERROR(SEARCH("Review",H2)))</formula>
    </cfRule>
    <cfRule type="containsText" dxfId="2" priority="1" operator="containsText" text="Decline">
      <formula>NOT(ISERROR(SEARCH("Decline",H2)))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Zhengwei Yang</dc:creator>
  <cp:lastModifiedBy>Zhengwei Yang</cp:lastModifiedBy>
  <dcterms:created xsi:type="dcterms:W3CDTF">2026-07-08T14:51:35Z</dcterms:created>
  <dcterms:modified xsi:type="dcterms:W3CDTF">2026-07-13T09:17:10Z</dcterms:modified>
</cp:coreProperties>
</file>